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iority Po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<sst xmlns="http://schemas.openxmlformats.org/spreadsheetml/2006/main" count="102" uniqueCount="74">
  <si>
    <t xml:space="preserve">Issue Key</t>
  </si>
  <si>
    <t xml:space="preserve">Summary</t>
  </si>
  <si>
    <t xml:space="preserve">T-Shirt Size</t>
  </si>
  <si>
    <t xml:space="preserve">Business Value (1-10)</t>
  </si>
  <si>
    <t xml:space="preserve">Technical Risk (1-10)</t>
  </si>
  <si>
    <t xml:space="preserve">Time Sensitivity (1-10)</t>
  </si>
  <si>
    <t xml:space="preserve">Priority Score</t>
  </si>
  <si>
    <t xml:space="preserve">Final Priority</t>
  </si>
  <si>
    <t xml:space="preserve">Δημιουργία Product Backlog</t>
  </si>
  <si>
    <t xml:space="preserve">XXL</t>
  </si>
  <si>
    <t xml:space="preserve">Ανάλυση Απαιτήσεων</t>
  </si>
  <si>
    <t xml:space="preserve">Χρονοπρογραμματισμός μέσω Trello - Αναθέσεις</t>
  </si>
  <si>
    <t xml:space="preserve">R0: Δημιουργία script για ΒΔ σε Java Derby (Setup Database &amp; Project) &amp; POJO Classes</t>
  </si>
  <si>
    <t xml:space="preserve">[R1: Αναζήτηση Άρθρου από API] R1.2 Search UI (Search panel με TextField + Button)</t>
  </si>
  <si>
    <t xml:space="preserve">XL</t>
  </si>
  <si>
    <t xml:space="preserve">[R1: Αναζήτηση Άρθρου από API] R1.1 Wikipedia API Integration (Κλήση Wikipedia API και parsing JSON)</t>
  </si>
  <si>
    <t xml:space="preserve">Priority Poker</t>
  </si>
  <si>
    <t xml:space="preserve">L</t>
  </si>
  <si>
    <t xml:space="preserve">Planning Poker</t>
  </si>
  <si>
    <t xml:space="preserve">M</t>
  </si>
  <si>
    <t xml:space="preserve">Javadoc - Τεκμηρίωση κώδικα / HTML - Based</t>
  </si>
  <si>
    <t xml:space="preserve">Συγγραφή της εργασίας (τελικό document)</t>
  </si>
  <si>
    <t xml:space="preserve">Video - Παρουσίαση 15 λεπτών</t>
  </si>
  <si>
    <t xml:space="preserve">Screenshots - User Guide (6 screenshots)</t>
  </si>
  <si>
    <t xml:space="preserve">Testing - Integration Testing</t>
  </si>
  <si>
    <t xml:space="preserve">Κατασκευή Class Diagram</t>
  </si>
  <si>
    <t xml:space="preserve">Κατασκευή διαγράμματος ER της ΒΔ</t>
  </si>
  <si>
    <t xml:space="preserve">Code Refactoring - Βελτιστοποίηση</t>
  </si>
  <si>
    <t xml:space="preserve">Δημιουργία GANTT Διαγράμματος</t>
  </si>
  <si>
    <t xml:space="preserve">[R6: Στατιστικά] R6.5 PDF Export (Εξαγωγή στατιστικών σε PDF)</t>
  </si>
  <si>
    <t xml:space="preserve">[R6: Στατιστικά] R6.4 Pie Chart (Κυκλικό διάγραμμα κατηγοριών)</t>
  </si>
  <si>
    <t xml:space="preserve">S</t>
  </si>
  <si>
    <t xml:space="preserve">[R6: Στατιστικά] R6.3 Bar Chart (Ραβδόγραμμα top άρθρων)</t>
  </si>
  <si>
    <t xml:space="preserve">[R6: Στατιστικά] R6.2 Statistics Table (Πίνακας με top searched άρθρα)</t>
  </si>
  <si>
    <t xml:space="preserve">[R6: Στατιστικά] R6.1 Statistics Calculations (Υπολογισμός στατιστικών από ΒΔ)</t>
  </si>
  <si>
    <t xml:space="preserve">[R5: Αναζήτηση με Keyword] R5.2 Keyword Search Query (SQL LIKE query για keyword search)</t>
  </si>
  <si>
    <t xml:space="preserve">[R5: Αναζήτηση με Keyword] R5.1 Local Search UI (Αναζήτηση στην τοπική ΒΔ)</t>
  </si>
  <si>
    <t xml:space="preserve">[R4: Προβολή ανά Κατηγορία] R4.2 Filter Articles by Category (Φιλτράρισμα άρθρων ανά κατηγορία)</t>
  </si>
  <si>
    <t xml:space="preserve">[R4: Προβολή ανά Κατηγορία] R4.1 Category Selection UI (UI component για επιλογή κατηγορίας)</t>
  </si>
  <si>
    <t xml:space="preserve">[R3: Σχόλια &amp; Βαθμολογίες] R3.2 Ratings Feature (Βαθμολόγηση άρθρων 1-5 stars)</t>
  </si>
  <si>
    <t xml:space="preserve">[R3: Σχόλια &amp; Βαθμολογίες] R3.1 Comments Feature (Προσθήκη και προβολή σχολίων)</t>
  </si>
  <si>
    <t xml:space="preserve">[R2: Ενημέρωση Πληροφοριών] R2.2 Edit &amp; Save Article (Επεξεργασία και αποθήκευση αλλαγών)</t>
  </si>
  <si>
    <t xml:space="preserve">[R2: Ενημέρωση Πληροφοριών] R2.1 Article Details Panel (Προβολή όλων των πληροφοριών άρθρου)</t>
  </si>
  <si>
    <t xml:space="preserve">[R1: Αναζήτηση Άρθρου από API] R1.5 Main Window GUI (Κύριο παράθυρο εφαρμογής)</t>
  </si>
  <si>
    <t xml:space="preserve">[R1: Αναζήτηση Άρθρου από API] R1.4 Save &amp; Merge Articles (Αποθήκευση άρθρων με MERGE logic)</t>
  </si>
  <si>
    <t xml:space="preserve">[R1: Αναζήτηση Άρθρου από API] R1.3 Display Search Results (JTable με αποτελέσματα αναζήτησης)</t>
  </si>
  <si>
    <t xml:space="preserve">ΟΔΗΓΙΕΣ PRIORITY POKER</t>
  </si>
  <si>
    <t xml:space="preserve">ΒΗΜΑ 1: Βαθμολογήστε κάθε εργασία (1-10) στις τρεις διαστάσεις:</t>
  </si>
  <si>
    <t xml:space="preserve">  • Business Value (Επιχειρηματική Αξία): Πόσο σημαντική είναι η εργασία; (10 = πολύ σημαντική)</t>
  </si>
  <si>
    <t xml:space="preserve">  • Technical Risk (Τεχνικός Κίνδυνος): Πόσο ριψοκίνδυνη/πολύπλοκη είναι; (10 = πολύ ριψοκίνδυνη)</t>
  </si>
  <si>
    <t xml:space="preserve">  • Time Sensitivity (Χρονική Ευαισθησία): Πόσο επείγουσα είναι; (10 = πολύ επείγουσα)</t>
  </si>
  <si>
    <t xml:space="preserve">ΒΗΜΑ 2: Το Priority Score υπολογίζεται αυτόματα με τον τύπο:</t>
  </si>
  <si>
    <t xml:space="preserve">  Score = (Business Value × 2) + (Time Sensitivity × 1.5) - (Technical Risk × 1)</t>
  </si>
  <si>
    <t xml:space="preserve">  Υψηλότερο score = Υψηλότερη προτεραιότητα</t>
  </si>
  <si>
    <t xml:space="preserve">ΒΗΜΑ 3: Χρησιμοποιήστε το Priority Score σαν οδηγό και συζητήστε:</t>
  </si>
  <si>
    <t xml:space="preserve">  • Αν υπάρχουν dependencies μεταξύ εργασιών</t>
  </si>
  <si>
    <t xml:space="preserve">  • Αν κάποιες εργασίες πρέπει να γίνουν πρώτα για τεχνικούς λόγους</t>
  </si>
  <si>
    <t xml:space="preserve">ΒΗΜΑ 4: Καταχωρήστε την τελική προτεραιότητα στη στήλη 'Final Priority':</t>
  </si>
  <si>
    <t xml:space="preserve">  • Critical (Κρίσιμη)</t>
  </si>
  <si>
    <t xml:space="preserve">  • High (Υψηλή)</t>
  </si>
  <si>
    <t xml:space="preserve">  • Medium (Μεσαία)</t>
  </si>
  <si>
    <t xml:space="preserve">  • Low (Χαμηλή)</t>
  </si>
  <si>
    <t xml:space="preserve">T-SHIRT SIZES: XXL (πολύ μεγάλη) &gt; XL (μεγάλη) &gt; L (μεσαία-μεγάλη) &gt; M (μεσαία) &gt; S (μικρή)</t>
  </si>
  <si>
    <t xml:space="preserve">ΧΡΩΜΑΤΙΚΗ ΚΛΙΜΑΚΑ T-SHIRT SIZES</t>
  </si>
  <si>
    <t xml:space="preserve">XXL (Extra Extra Large)</t>
  </si>
  <si>
    <t xml:space="preserve">Πολύ μεγάλη εργασία, &gt;5 ημέρες</t>
  </si>
  <si>
    <t xml:space="preserve">XL (Extra Large)</t>
  </si>
  <si>
    <t xml:space="preserve">Μεγάλη εργασία, 3-5 ημέρες</t>
  </si>
  <si>
    <t xml:space="preserve">L (Large)</t>
  </si>
  <si>
    <t xml:space="preserve">Μεσαία-μεγάλη εργασία, 2-3 ημέρες</t>
  </si>
  <si>
    <t xml:space="preserve">M (Medium)</t>
  </si>
  <si>
    <t xml:space="preserve">Μεσαία εργασία, 1-2 ημέρες</t>
  </si>
  <si>
    <t xml:space="preserve">S (Small)</t>
  </si>
  <si>
    <t xml:space="preserve">Μικρή εργασία, &lt;1 ημέρα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</si>
</sst>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4"/>
      <color rgb="FFFF0000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rgb="FFFFC7CE"/>
        <bgColor rgb="FFFFEB9C"/>
      </patternFill>
    </fill>
    <fill>
      <patternFill patternType="solid">
        <fgColor rgb="FFFFEB9C"/>
        <bgColor rgb="FFFFFFCC"/>
      </patternFill>
    </fill>
    <fill>
      <patternFill patternType="solid">
        <fgColor rgb="FFC6EFCE"/>
        <bgColor rgb="FFC6E0B4"/>
      </patternFill>
    </fill>
    <fill>
      <patternFill patternType="solid">
        <fgColor rgb="FFC6E0B4"/>
        <bgColor rgb="FFC6EFCE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3" min="3" style="0" width="15"/>
    <col collapsed="false" customWidth="true" hidden="false" outlineLevel="0" max="6" min="4" style="0" width="18"/>
    <col collapsed="false" customWidth="true" hidden="false" outlineLevel="0" max="8" min="7" style="0" width="15"/>
  </cols>
  <sheetData>
    <row r="1" customFormat="false" ht="28.3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/>
      <c r="B2" s="2" t="s">
        <v>8</v>
      </c>
      <c r="C2" s="3" t="s">
        <v>9</v>
      </c>
      <c r="D2" s="4"/>
      <c r="E2" s="4"/>
      <c r="F2" s="4"/>
      <c r="G2" s="5" t="str">
        <f aca="false">IF(COUNTA(D2:F2)=3,(D2*2)+(F2*1.5)-(E2*1),"")</f>
        <v/>
      </c>
      <c r="H2" s="4"/>
    </row>
    <row r="3" customFormat="false" ht="15" hidden="false" customHeight="false" outlineLevel="0" collapsed="false">
      <c r="A3" s="2"/>
      <c r="B3" s="2" t="s">
        <v>10</v>
      </c>
      <c r="C3" s="3" t="s">
        <v>9</v>
      </c>
      <c r="D3" s="4"/>
      <c r="E3" s="4"/>
      <c r="F3" s="4"/>
      <c r="G3" s="5" t="str">
        <f aca="false">IF(COUNTA(D3:F3)=3,(D3*2)+(F3*1.5)-(E3*1),"")</f>
        <v/>
      </c>
      <c r="H3" s="4"/>
    </row>
    <row r="4" customFormat="false" ht="15" hidden="false" customHeight="false" outlineLevel="0" collapsed="false">
      <c r="A4" s="2"/>
      <c r="B4" s="2" t="s">
        <v>11</v>
      </c>
      <c r="C4" s="3" t="s">
        <v>9</v>
      </c>
      <c r="D4" s="4"/>
      <c r="E4" s="4"/>
      <c r="F4" s="4"/>
      <c r="G4" s="5" t="str">
        <f aca="false">IF(COUNTA(D4:F4)=3,(D4*2)+(F4*1.5)-(E4*1),"")</f>
        <v/>
      </c>
      <c r="H4" s="4"/>
    </row>
    <row r="5" customFormat="false" ht="15" hidden="false" customHeight="false" outlineLevel="0" collapsed="false">
      <c r="A5" s="2"/>
      <c r="B5" s="2" t="s">
        <v>12</v>
      </c>
      <c r="C5" s="3" t="s">
        <v>9</v>
      </c>
      <c r="D5" s="4"/>
      <c r="E5" s="4"/>
      <c r="F5" s="4"/>
      <c r="G5" s="5" t="str">
        <f aca="false">IF(COUNTA(D5:F5)=3,(D5*2)+(F5*1.5)-(E5*1),"")</f>
        <v/>
      </c>
      <c r="H5" s="4"/>
    </row>
    <row r="6" customFormat="false" ht="15" hidden="false" customHeight="false" outlineLevel="0" collapsed="false">
      <c r="A6" s="2"/>
      <c r="B6" s="2" t="s">
        <v>13</v>
      </c>
      <c r="C6" s="6" t="s">
        <v>14</v>
      </c>
      <c r="D6" s="4"/>
      <c r="E6" s="4"/>
      <c r="F6" s="4"/>
      <c r="G6" s="5" t="str">
        <f aca="false">IF(COUNTA(D6:F6)=3,(D6*2)+(F6*1.5)-(E6*1),"")</f>
        <v/>
      </c>
      <c r="H6" s="4"/>
    </row>
    <row r="7" customFormat="false" ht="15" hidden="false" customHeight="false" outlineLevel="0" collapsed="false">
      <c r="A7" s="2"/>
      <c r="B7" s="2" t="s">
        <v>15</v>
      </c>
      <c r="C7" s="3" t="s">
        <v>9</v>
      </c>
      <c r="D7" s="4"/>
      <c r="E7" s="4"/>
      <c r="F7" s="4"/>
      <c r="G7" s="5" t="str">
        <f aca="false">IF(COUNTA(D7:F7)=3,(D7*2)+(F7*1.5)-(E7*1),"")</f>
        <v/>
      </c>
      <c r="H7" s="4"/>
    </row>
    <row r="8" customFormat="false" ht="15" hidden="false" customHeight="false" outlineLevel="0" collapsed="false">
      <c r="A8" s="2"/>
      <c r="B8" s="2" t="s">
        <v>16</v>
      </c>
      <c r="C8" s="7" t="s">
        <v>17</v>
      </c>
      <c r="D8" s="4"/>
      <c r="E8" s="4"/>
      <c r="F8" s="4"/>
      <c r="G8" s="5" t="str">
        <f aca="false">IF(COUNTA(D8:F8)=3,(D8*2)+(F8*1.5)-(E8*1),"")</f>
        <v/>
      </c>
      <c r="H8" s="4"/>
    </row>
    <row r="9" customFormat="false" ht="15" hidden="false" customHeight="false" outlineLevel="0" collapsed="false">
      <c r="A9" s="2"/>
      <c r="B9" s="2" t="s">
        <v>18</v>
      </c>
      <c r="C9" s="8" t="s">
        <v>19</v>
      </c>
      <c r="D9" s="4"/>
      <c r="E9" s="4"/>
      <c r="F9" s="4"/>
      <c r="G9" s="5" t="str">
        <f aca="false">IF(COUNTA(D9:F9)=3,(D9*2)+(F9*1.5)-(E9*1),"")</f>
        <v/>
      </c>
      <c r="H9" s="4"/>
    </row>
    <row r="10" customFormat="false" ht="15" hidden="false" customHeight="false" outlineLevel="0" collapsed="false">
      <c r="A10" s="2"/>
      <c r="B10" s="2" t="s">
        <v>20</v>
      </c>
      <c r="C10" s="8" t="s">
        <v>19</v>
      </c>
      <c r="D10" s="4"/>
      <c r="E10" s="4"/>
      <c r="F10" s="4"/>
      <c r="G10" s="5" t="str">
        <f aca="false">IF(COUNTA(D10:F10)=3,(D10*2)+(F10*1.5)-(E10*1),"")</f>
        <v/>
      </c>
      <c r="H10" s="4"/>
    </row>
    <row r="11" customFormat="false" ht="15" hidden="false" customHeight="false" outlineLevel="0" collapsed="false">
      <c r="A11" s="2"/>
      <c r="B11" s="2" t="s">
        <v>21</v>
      </c>
      <c r="C11" s="3" t="s">
        <v>9</v>
      </c>
      <c r="D11" s="4"/>
      <c r="E11" s="4"/>
      <c r="F11" s="4"/>
      <c r="G11" s="5" t="str">
        <f aca="false">IF(COUNTA(D11:F11)=3,(D11*2)+(F11*1.5)-(E11*1),"")</f>
        <v/>
      </c>
      <c r="H11" s="4"/>
    </row>
    <row r="12" customFormat="false" ht="15" hidden="false" customHeight="false" outlineLevel="0" collapsed="false">
      <c r="A12" s="2"/>
      <c r="B12" s="2" t="s">
        <v>22</v>
      </c>
      <c r="C12" s="7" t="s">
        <v>17</v>
      </c>
      <c r="D12" s="4"/>
      <c r="E12" s="4"/>
      <c r="F12" s="4"/>
      <c r="G12" s="5" t="str">
        <f aca="false">IF(COUNTA(D12:F12)=3,(D12*2)+(F12*1.5)-(E12*1),"")</f>
        <v/>
      </c>
      <c r="H12" s="4"/>
    </row>
    <row r="13" customFormat="false" ht="15" hidden="false" customHeight="false" outlineLevel="0" collapsed="false">
      <c r="A13" s="2"/>
      <c r="B13" s="2" t="s">
        <v>23</v>
      </c>
      <c r="C13" s="8" t="s">
        <v>19</v>
      </c>
      <c r="D13" s="4"/>
      <c r="E13" s="4"/>
      <c r="F13" s="4"/>
      <c r="G13" s="5" t="str">
        <f aca="false">IF(COUNTA(D13:F13)=3,(D13*2)+(F13*1.5)-(E13*1),"")</f>
        <v/>
      </c>
      <c r="H13" s="4"/>
    </row>
    <row r="14" customFormat="false" ht="15" hidden="false" customHeight="false" outlineLevel="0" collapsed="false">
      <c r="A14" s="2"/>
      <c r="B14" s="2" t="s">
        <v>24</v>
      </c>
      <c r="C14" s="6" t="s">
        <v>14</v>
      </c>
      <c r="D14" s="4"/>
      <c r="E14" s="4"/>
      <c r="F14" s="4"/>
      <c r="G14" s="5" t="str">
        <f aca="false">IF(COUNTA(D14:F14)=3,(D14*2)+(F14*1.5)-(E14*1),"")</f>
        <v/>
      </c>
      <c r="H14" s="4"/>
    </row>
    <row r="15" customFormat="false" ht="15" hidden="false" customHeight="false" outlineLevel="0" collapsed="false">
      <c r="A15" s="2"/>
      <c r="B15" s="2" t="s">
        <v>25</v>
      </c>
      <c r="C15" s="6" t="s">
        <v>14</v>
      </c>
      <c r="D15" s="4"/>
      <c r="E15" s="4"/>
      <c r="F15" s="4"/>
      <c r="G15" s="5" t="str">
        <f aca="false">IF(COUNTA(D15:F15)=3,(D15*2)+(F15*1.5)-(E15*1),"")</f>
        <v/>
      </c>
      <c r="H15" s="4"/>
    </row>
    <row r="16" customFormat="false" ht="15" hidden="false" customHeight="false" outlineLevel="0" collapsed="false">
      <c r="A16" s="2"/>
      <c r="B16" s="2" t="s">
        <v>26</v>
      </c>
      <c r="C16" s="6" t="s">
        <v>14</v>
      </c>
      <c r="D16" s="4"/>
      <c r="E16" s="4"/>
      <c r="F16" s="4"/>
      <c r="G16" s="5" t="str">
        <f aca="false">IF(COUNTA(D16:F16)=3,(D16*2)+(F16*1.5)-(E16*1),"")</f>
        <v/>
      </c>
      <c r="H16" s="4"/>
    </row>
    <row r="17" customFormat="false" ht="15" hidden="false" customHeight="false" outlineLevel="0" collapsed="false">
      <c r="A17" s="2"/>
      <c r="B17" s="2" t="s">
        <v>27</v>
      </c>
      <c r="C17" s="6" t="s">
        <v>14</v>
      </c>
      <c r="D17" s="4"/>
      <c r="E17" s="4"/>
      <c r="F17" s="4"/>
      <c r="G17" s="5" t="str">
        <f aca="false">IF(COUNTA(D17:F17)=3,(D17*2)+(F17*1.5)-(E17*1),"")</f>
        <v/>
      </c>
      <c r="H17" s="4"/>
    </row>
    <row r="18" customFormat="false" ht="15" hidden="false" customHeight="false" outlineLevel="0" collapsed="false">
      <c r="A18" s="2"/>
      <c r="B18" s="2" t="s">
        <v>28</v>
      </c>
      <c r="C18" s="8" t="s">
        <v>19</v>
      </c>
      <c r="D18" s="4"/>
      <c r="E18" s="4"/>
      <c r="F18" s="4"/>
      <c r="G18" s="5" t="str">
        <f aca="false">IF(COUNTA(D18:F18)=3,(D18*2)+(F18*1.5)-(E18*1),"")</f>
        <v/>
      </c>
      <c r="H18" s="4"/>
    </row>
    <row r="19" customFormat="false" ht="15" hidden="false" customHeight="false" outlineLevel="0" collapsed="false">
      <c r="A19" s="2"/>
      <c r="B19" s="2" t="s">
        <v>29</v>
      </c>
      <c r="C19" s="8" t="s">
        <v>19</v>
      </c>
      <c r="D19" s="4"/>
      <c r="E19" s="4"/>
      <c r="F19" s="4"/>
      <c r="G19" s="5" t="str">
        <f aca="false">IF(COUNTA(D19:F19)=3,(D19*2)+(F19*1.5)-(E19*1),"")</f>
        <v/>
      </c>
      <c r="H19" s="4"/>
    </row>
    <row r="20" customFormat="false" ht="15" hidden="false" customHeight="false" outlineLevel="0" collapsed="false">
      <c r="A20" s="2"/>
      <c r="B20" s="2" t="s">
        <v>30</v>
      </c>
      <c r="C20" s="9" t="s">
        <v>31</v>
      </c>
      <c r="D20" s="4"/>
      <c r="E20" s="4"/>
      <c r="F20" s="4"/>
      <c r="G20" s="5" t="str">
        <f aca="false">IF(COUNTA(D20:F20)=3,(D20*2)+(F20*1.5)-(E20*1),"")</f>
        <v/>
      </c>
      <c r="H20" s="4"/>
    </row>
    <row r="21" customFormat="false" ht="15" hidden="false" customHeight="false" outlineLevel="0" collapsed="false">
      <c r="A21" s="2"/>
      <c r="B21" s="2" t="s">
        <v>32</v>
      </c>
      <c r="C21" s="9" t="s">
        <v>31</v>
      </c>
      <c r="D21" s="4"/>
      <c r="E21" s="4"/>
      <c r="F21" s="4"/>
      <c r="G21" s="5" t="str">
        <f aca="false">IF(COUNTA(D21:F21)=3,(D21*2)+(F21*1.5)-(E21*1),"")</f>
        <v/>
      </c>
      <c r="H21" s="4"/>
    </row>
    <row r="22" customFormat="false" ht="15" hidden="false" customHeight="false" outlineLevel="0" collapsed="false">
      <c r="A22" s="2"/>
      <c r="B22" s="2" t="s">
        <v>33</v>
      </c>
      <c r="C22" s="9" t="s">
        <v>31</v>
      </c>
      <c r="D22" s="4"/>
      <c r="E22" s="4"/>
      <c r="F22" s="4"/>
      <c r="G22" s="5" t="str">
        <f aca="false">IF(COUNTA(D22:F22)=3,(D22*2)+(F22*1.5)-(E22*1),"")</f>
        <v/>
      </c>
      <c r="H22" s="4"/>
    </row>
    <row r="23" customFormat="false" ht="15" hidden="false" customHeight="false" outlineLevel="0" collapsed="false">
      <c r="A23" s="2"/>
      <c r="B23" s="2" t="s">
        <v>34</v>
      </c>
      <c r="C23" s="7" t="s">
        <v>17</v>
      </c>
      <c r="D23" s="4"/>
      <c r="E23" s="4"/>
      <c r="F23" s="4"/>
      <c r="G23" s="5" t="str">
        <f aca="false">IF(COUNTA(D23:F23)=3,(D23*2)+(F23*1.5)-(E23*1),"")</f>
        <v/>
      </c>
      <c r="H23" s="4"/>
    </row>
    <row r="24" customFormat="false" ht="15" hidden="false" customHeight="false" outlineLevel="0" collapsed="false">
      <c r="A24" s="2"/>
      <c r="B24" s="2" t="s">
        <v>35</v>
      </c>
      <c r="C24" s="6" t="s">
        <v>14</v>
      </c>
      <c r="D24" s="4"/>
      <c r="E24" s="4"/>
      <c r="F24" s="4"/>
      <c r="G24" s="5" t="str">
        <f aca="false">IF(COUNTA(D24:F24)=3,(D24*2)+(F24*1.5)-(E24*1),"")</f>
        <v/>
      </c>
      <c r="H24" s="4"/>
    </row>
    <row r="25" customFormat="false" ht="15" hidden="false" customHeight="false" outlineLevel="0" collapsed="false">
      <c r="A25" s="2"/>
      <c r="B25" s="2" t="s">
        <v>36</v>
      </c>
      <c r="C25" s="6" t="s">
        <v>14</v>
      </c>
      <c r="D25" s="4"/>
      <c r="E25" s="4"/>
      <c r="F25" s="4"/>
      <c r="G25" s="5" t="str">
        <f aca="false">IF(COUNTA(D25:F25)=3,(D25*2)+(F25*1.5)-(E25*1),"")</f>
        <v/>
      </c>
      <c r="H25" s="4"/>
    </row>
    <row r="26" customFormat="false" ht="15" hidden="false" customHeight="false" outlineLevel="0" collapsed="false">
      <c r="A26" s="2"/>
      <c r="B26" s="2" t="s">
        <v>37</v>
      </c>
      <c r="C26" s="6" t="s">
        <v>14</v>
      </c>
      <c r="D26" s="4"/>
      <c r="E26" s="4"/>
      <c r="F26" s="4"/>
      <c r="G26" s="5" t="str">
        <f aca="false">IF(COUNTA(D26:F26)=3,(D26*2)+(F26*1.5)-(E26*1),"")</f>
        <v/>
      </c>
      <c r="H26" s="4"/>
    </row>
    <row r="27" customFormat="false" ht="15" hidden="false" customHeight="false" outlineLevel="0" collapsed="false">
      <c r="A27" s="2"/>
      <c r="B27" s="2" t="s">
        <v>38</v>
      </c>
      <c r="C27" s="7" t="s">
        <v>17</v>
      </c>
      <c r="D27" s="4"/>
      <c r="E27" s="4"/>
      <c r="F27" s="4"/>
      <c r="G27" s="5" t="str">
        <f aca="false">IF(COUNTA(D27:F27)=3,(D27*2)+(F27*1.5)-(E27*1),"")</f>
        <v/>
      </c>
      <c r="H27" s="4"/>
    </row>
    <row r="28" customFormat="false" ht="15" hidden="false" customHeight="false" outlineLevel="0" collapsed="false">
      <c r="A28" s="2"/>
      <c r="B28" s="2" t="s">
        <v>39</v>
      </c>
      <c r="C28" s="8" t="s">
        <v>19</v>
      </c>
      <c r="D28" s="4"/>
      <c r="E28" s="4"/>
      <c r="F28" s="4"/>
      <c r="G28" s="5" t="str">
        <f aca="false">IF(COUNTA(D28:F28)=3,(D28*2)+(F28*1.5)-(E28*1),"")</f>
        <v/>
      </c>
      <c r="H28" s="4"/>
    </row>
    <row r="29" customFormat="false" ht="15" hidden="false" customHeight="false" outlineLevel="0" collapsed="false">
      <c r="A29" s="2"/>
      <c r="B29" s="2" t="s">
        <v>40</v>
      </c>
      <c r="C29" s="8" t="s">
        <v>19</v>
      </c>
      <c r="D29" s="4"/>
      <c r="E29" s="4"/>
      <c r="F29" s="4"/>
      <c r="G29" s="5" t="str">
        <f aca="false">IF(COUNTA(D29:F29)=3,(D29*2)+(F29*1.5)-(E29*1),"")</f>
        <v/>
      </c>
      <c r="H29" s="4"/>
    </row>
    <row r="30" customFormat="false" ht="15" hidden="false" customHeight="false" outlineLevel="0" collapsed="false">
      <c r="A30" s="2"/>
      <c r="B30" s="2" t="s">
        <v>41</v>
      </c>
      <c r="C30" s="7" t="s">
        <v>17</v>
      </c>
      <c r="D30" s="4"/>
      <c r="E30" s="4"/>
      <c r="F30" s="4"/>
      <c r="G30" s="5" t="str">
        <f aca="false">IF(COUNTA(D30:F30)=3,(D30*2)+(F30*1.5)-(E30*1),"")</f>
        <v/>
      </c>
      <c r="H30" s="4"/>
    </row>
    <row r="31" customFormat="false" ht="15" hidden="false" customHeight="false" outlineLevel="0" collapsed="false">
      <c r="A31" s="2"/>
      <c r="B31" s="2" t="s">
        <v>42</v>
      </c>
      <c r="C31" s="7" t="s">
        <v>17</v>
      </c>
      <c r="D31" s="4"/>
      <c r="E31" s="4"/>
      <c r="F31" s="4"/>
      <c r="G31" s="5" t="str">
        <f aca="false">IF(COUNTA(D31:F31)=3,(D31*2)+(F31*1.5)-(E31*1),"")</f>
        <v/>
      </c>
      <c r="H31" s="4"/>
    </row>
    <row r="32" customFormat="false" ht="15" hidden="false" customHeight="false" outlineLevel="0" collapsed="false">
      <c r="A32" s="2"/>
      <c r="B32" s="2" t="s">
        <v>43</v>
      </c>
      <c r="C32" s="3" t="s">
        <v>9</v>
      </c>
      <c r="D32" s="4"/>
      <c r="E32" s="4"/>
      <c r="F32" s="4"/>
      <c r="G32" s="5" t="str">
        <f aca="false">IF(COUNTA(D32:F32)=3,(D32*2)+(F32*1.5)-(E32*1),"")</f>
        <v/>
      </c>
      <c r="H32" s="4"/>
    </row>
    <row r="33" customFormat="false" ht="15" hidden="false" customHeight="false" outlineLevel="0" collapsed="false">
      <c r="A33" s="2"/>
      <c r="B33" s="2" t="s">
        <v>44</v>
      </c>
      <c r="C33" s="7" t="s">
        <v>17</v>
      </c>
      <c r="D33" s="4"/>
      <c r="E33" s="4"/>
      <c r="F33" s="4"/>
      <c r="G33" s="5" t="str">
        <f aca="false">IF(COUNTA(D33:F33)=3,(D33*2)+(F33*1.5)-(E33*1),"")</f>
        <v/>
      </c>
      <c r="H33" s="4"/>
    </row>
    <row r="34" customFormat="false" ht="15" hidden="false" customHeight="false" outlineLevel="0" collapsed="false">
      <c r="A34" s="2"/>
      <c r="B34" s="2" t="s">
        <v>45</v>
      </c>
      <c r="C34" s="6" t="s">
        <v>14</v>
      </c>
      <c r="D34" s="4"/>
      <c r="E34" s="4"/>
      <c r="F34" s="4"/>
      <c r="G34" s="5" t="str">
        <f aca="false">IF(COUNTA(D34:F34)=3,(D34*2)+(F34*1.5)-(E34*1),"")</f>
        <v/>
      </c>
      <c r="H34" s="4"/>
    </row>
    <row r="36" customFormat="false" ht="17.35" hidden="false" customHeight="false" outlineLevel="0" collapsed="false">
      <c r="A36" s="10" t="s">
        <v>46</v>
      </c>
      <c r="B36" s="10"/>
      <c r="C36" s="10"/>
      <c r="D36" s="10"/>
      <c r="E36" s="10"/>
      <c r="F36" s="10"/>
      <c r="G36" s="10"/>
      <c r="H36" s="10"/>
    </row>
    <row r="37" customFormat="false" ht="15" hidden="false" customHeight="true" outlineLevel="0" collapsed="false">
      <c r="A37" s="11" t="s">
        <v>47</v>
      </c>
      <c r="B37" s="11"/>
      <c r="C37" s="11"/>
      <c r="D37" s="11"/>
      <c r="E37" s="11"/>
      <c r="F37" s="11"/>
      <c r="G37" s="11"/>
      <c r="H37" s="11"/>
    </row>
    <row r="38" customFormat="false" ht="15" hidden="false" customHeight="true" outlineLevel="0" collapsed="false">
      <c r="A38" s="12" t="s">
        <v>48</v>
      </c>
      <c r="B38" s="12"/>
      <c r="C38" s="12"/>
      <c r="D38" s="12"/>
      <c r="E38" s="12"/>
      <c r="F38" s="12"/>
      <c r="G38" s="12"/>
      <c r="H38" s="12"/>
    </row>
    <row r="39" customFormat="false" ht="15" hidden="false" customHeight="true" outlineLevel="0" collapsed="false">
      <c r="A39" s="12" t="s">
        <v>49</v>
      </c>
      <c r="B39" s="12"/>
      <c r="C39" s="12"/>
      <c r="D39" s="12"/>
      <c r="E39" s="12"/>
      <c r="F39" s="12"/>
      <c r="G39" s="12"/>
      <c r="H39" s="12"/>
    </row>
    <row r="40" customFormat="false" ht="15" hidden="false" customHeight="true" outlineLevel="0" collapsed="false">
      <c r="A40" s="12" t="s">
        <v>50</v>
      </c>
      <c r="B40" s="12"/>
      <c r="C40" s="12"/>
      <c r="D40" s="12"/>
      <c r="E40" s="12"/>
      <c r="F40" s="12"/>
      <c r="G40" s="12"/>
      <c r="H40" s="12"/>
    </row>
    <row r="41" customFormat="false" ht="15" hidden="false" customHeight="false" outlineLevel="0" collapsed="false">
      <c r="A41" s="12"/>
      <c r="B41" s="12"/>
      <c r="C41" s="12"/>
      <c r="D41" s="12"/>
      <c r="E41" s="12"/>
      <c r="F41" s="12"/>
      <c r="G41" s="12"/>
      <c r="H41" s="12"/>
    </row>
    <row r="42" customFormat="false" ht="15" hidden="false" customHeight="true" outlineLevel="0" collapsed="false">
      <c r="A42" s="11" t="s">
        <v>51</v>
      </c>
      <c r="B42" s="11"/>
      <c r="C42" s="11"/>
      <c r="D42" s="11"/>
      <c r="E42" s="11"/>
      <c r="F42" s="11"/>
      <c r="G42" s="11"/>
      <c r="H42" s="11"/>
    </row>
    <row r="43" customFormat="false" ht="15" hidden="false" customHeight="true" outlineLevel="0" collapsed="false">
      <c r="A43" s="12" t="s">
        <v>52</v>
      </c>
      <c r="B43" s="12"/>
      <c r="C43" s="12"/>
      <c r="D43" s="12"/>
      <c r="E43" s="12"/>
      <c r="F43" s="12"/>
      <c r="G43" s="12"/>
      <c r="H43" s="12"/>
    </row>
    <row r="44" customFormat="false" ht="15" hidden="false" customHeight="true" outlineLevel="0" collapsed="false">
      <c r="A44" s="12" t="s">
        <v>53</v>
      </c>
      <c r="B44" s="12"/>
      <c r="C44" s="12"/>
      <c r="D44" s="12"/>
      <c r="E44" s="12"/>
      <c r="F44" s="12"/>
      <c r="G44" s="12"/>
      <c r="H44" s="12"/>
    </row>
    <row r="45" customFormat="false" ht="15" hidden="false" customHeight="false" outlineLevel="0" collapsed="false">
      <c r="A45" s="12"/>
      <c r="B45" s="12"/>
      <c r="C45" s="12"/>
      <c r="D45" s="12"/>
      <c r="E45" s="12"/>
      <c r="F45" s="12"/>
      <c r="G45" s="12"/>
      <c r="H45" s="12"/>
    </row>
    <row r="46" customFormat="false" ht="15" hidden="false" customHeight="true" outlineLevel="0" collapsed="false">
      <c r="A46" s="11" t="s">
        <v>54</v>
      </c>
      <c r="B46" s="11"/>
      <c r="C46" s="11"/>
      <c r="D46" s="11"/>
      <c r="E46" s="11"/>
      <c r="F46" s="11"/>
      <c r="G46" s="11"/>
      <c r="H46" s="11"/>
    </row>
    <row r="47" customFormat="false" ht="15" hidden="false" customHeight="true" outlineLevel="0" collapsed="false">
      <c r="A47" s="12" t="s">
        <v>55</v>
      </c>
      <c r="B47" s="12"/>
      <c r="C47" s="12"/>
      <c r="D47" s="12"/>
      <c r="E47" s="12"/>
      <c r="F47" s="12"/>
      <c r="G47" s="12"/>
      <c r="H47" s="12"/>
    </row>
    <row r="48" customFormat="false" ht="15" hidden="false" customHeight="true" outlineLevel="0" collapsed="false">
      <c r="A48" s="12" t="s">
        <v>56</v>
      </c>
      <c r="B48" s="12"/>
      <c r="C48" s="12"/>
      <c r="D48" s="12"/>
      <c r="E48" s="12"/>
      <c r="F48" s="12"/>
      <c r="G48" s="12"/>
      <c r="H48" s="12"/>
    </row>
    <row r="49" customFormat="false" ht="15" hidden="false" customHeight="false" outlineLevel="0" collapsed="false">
      <c r="A49" s="12"/>
      <c r="B49" s="12"/>
      <c r="C49" s="12"/>
      <c r="D49" s="12"/>
      <c r="E49" s="12"/>
      <c r="F49" s="12"/>
      <c r="G49" s="12"/>
      <c r="H49" s="12"/>
    </row>
    <row r="50" customFormat="false" ht="15" hidden="false" customHeight="true" outlineLevel="0" collapsed="false">
      <c r="A50" s="11" t="s">
        <v>57</v>
      </c>
      <c r="B50" s="11"/>
      <c r="C50" s="11"/>
      <c r="D50" s="11"/>
      <c r="E50" s="11"/>
      <c r="F50" s="11"/>
      <c r="G50" s="11"/>
      <c r="H50" s="11"/>
    </row>
    <row r="51" customFormat="false" ht="15" hidden="false" customHeight="true" outlineLevel="0" collapsed="false">
      <c r="A51" s="12" t="s">
        <v>58</v>
      </c>
      <c r="B51" s="12"/>
      <c r="C51" s="12"/>
      <c r="D51" s="12"/>
      <c r="E51" s="12"/>
      <c r="F51" s="12"/>
      <c r="G51" s="12"/>
      <c r="H51" s="12"/>
    </row>
    <row r="52" customFormat="false" ht="15" hidden="false" customHeight="true" outlineLevel="0" collapsed="false">
      <c r="A52" s="12" t="s">
        <v>59</v>
      </c>
      <c r="B52" s="12"/>
      <c r="C52" s="12"/>
      <c r="D52" s="12"/>
      <c r="E52" s="12"/>
      <c r="F52" s="12"/>
      <c r="G52" s="12"/>
      <c r="H52" s="12"/>
    </row>
    <row r="53" customFormat="false" ht="15" hidden="false" customHeight="true" outlineLevel="0" collapsed="false">
      <c r="A53" s="12" t="s">
        <v>60</v>
      </c>
      <c r="B53" s="12"/>
      <c r="C53" s="12"/>
      <c r="D53" s="12"/>
      <c r="E53" s="12"/>
      <c r="F53" s="12"/>
      <c r="G53" s="12"/>
      <c r="H53" s="12"/>
    </row>
    <row r="54" customFormat="false" ht="15" hidden="false" customHeight="true" outlineLevel="0" collapsed="false">
      <c r="A54" s="12" t="s">
        <v>61</v>
      </c>
      <c r="B54" s="12"/>
      <c r="C54" s="12"/>
      <c r="D54" s="12"/>
      <c r="E54" s="12"/>
      <c r="F54" s="12"/>
      <c r="G54" s="12"/>
      <c r="H54" s="12"/>
    </row>
    <row r="55" customFormat="false" ht="15" hidden="false" customHeight="false" outlineLevel="0" collapsed="false">
      <c r="A55" s="12"/>
      <c r="B55" s="12"/>
      <c r="C55" s="12"/>
      <c r="D55" s="12"/>
      <c r="E55" s="12"/>
      <c r="F55" s="12"/>
      <c r="G55" s="12"/>
      <c r="H55" s="12"/>
    </row>
    <row r="56" customFormat="false" ht="15" hidden="false" customHeight="true" outlineLevel="0" collapsed="false">
      <c r="A56" s="12" t="s">
        <v>62</v>
      </c>
      <c r="B56" s="12"/>
      <c r="C56" s="12"/>
      <c r="D56" s="12"/>
      <c r="E56" s="12"/>
      <c r="F56" s="12"/>
      <c r="G56" s="12"/>
      <c r="H56" s="12"/>
    </row>
    <row r="58" customFormat="false" ht="15" hidden="false" customHeight="false" outlineLevel="0" collapsed="false">
      <c r="A58" s="13" t="s">
        <v>63</v>
      </c>
      <c r="B58" s="13"/>
      <c r="C58" s="13"/>
      <c r="D58" s="13"/>
      <c r="E58" s="13"/>
      <c r="F58" s="13"/>
      <c r="G58" s="13"/>
      <c r="H58" s="13"/>
    </row>
    <row r="59" customFormat="false" ht="15" hidden="false" customHeight="false" outlineLevel="0" collapsed="false">
      <c r="A59" s="14" t="s">
        <v>64</v>
      </c>
      <c r="B59" s="15" t="s">
        <v>65</v>
      </c>
      <c r="C59" s="15"/>
      <c r="D59" s="15"/>
      <c r="E59" s="15"/>
      <c r="F59" s="15"/>
      <c r="G59" s="15"/>
      <c r="H59" s="15"/>
    </row>
    <row r="60" customFormat="false" ht="15" hidden="false" customHeight="false" outlineLevel="0" collapsed="false">
      <c r="A60" s="16" t="s">
        <v>66</v>
      </c>
      <c r="B60" s="15" t="s">
        <v>67</v>
      </c>
      <c r="C60" s="15"/>
      <c r="D60" s="15"/>
      <c r="E60" s="15"/>
      <c r="F60" s="15"/>
      <c r="G60" s="15"/>
      <c r="H60" s="15"/>
    </row>
    <row r="61" customFormat="false" ht="15" hidden="false" customHeight="false" outlineLevel="0" collapsed="false">
      <c r="A61" s="17" t="s">
        <v>68</v>
      </c>
      <c r="B61" s="15" t="s">
        <v>69</v>
      </c>
      <c r="C61" s="15"/>
      <c r="D61" s="15"/>
      <c r="E61" s="15"/>
      <c r="F61" s="15"/>
      <c r="G61" s="15"/>
      <c r="H61" s="15"/>
    </row>
    <row r="62" customFormat="false" ht="15" hidden="false" customHeight="false" outlineLevel="0" collapsed="false">
      <c r="A62" s="18" t="s">
        <v>70</v>
      </c>
      <c r="B62" s="15" t="s">
        <v>71</v>
      </c>
      <c r="C62" s="15"/>
      <c r="D62" s="15"/>
      <c r="E62" s="15"/>
      <c r="F62" s="15"/>
      <c r="G62" s="15"/>
      <c r="H62" s="15"/>
    </row>
    <row r="63" customFormat="false" ht="15" hidden="false" customHeight="false" outlineLevel="0" collapsed="false">
      <c r="A63" s="19" t="s">
        <v>72</v>
      </c>
      <c r="B63" s="15" t="s">
        <v>73</v>
      </c>
      <c r="C63" s="15"/>
      <c r="D63" s="15"/>
      <c r="E63" s="15"/>
      <c r="F63" s="15"/>
      <c r="G63" s="15"/>
      <c r="H63" s="15"/>
    </row>
  </sheetData>
  <mergeCells count="27">
    <mergeCell ref="A36:H36"/>
    <mergeCell ref="A37:H37"/>
    <mergeCell ref="A38:H38"/>
    <mergeCell ref="A39:H39"/>
    <mergeCell ref="A40:H40"/>
    <mergeCell ref="A41:H41"/>
    <mergeCell ref="A42:H42"/>
    <mergeCell ref="A43:H43"/>
    <mergeCell ref="A44:H44"/>
    <mergeCell ref="A45:H45"/>
    <mergeCell ref="A46:H46"/>
    <mergeCell ref="A47:H47"/>
    <mergeCell ref="A48:H48"/>
    <mergeCell ref="A49:H49"/>
    <mergeCell ref="A50:H50"/>
    <mergeCell ref="A51:H51"/>
    <mergeCell ref="A52:H52"/>
    <mergeCell ref="A53:H53"/>
    <mergeCell ref="A54:H54"/>
    <mergeCell ref="A55:H55"/>
    <mergeCell ref="A56:H56"/>
    <mergeCell ref="A58:H58"/>
    <mergeCell ref="B59:H59"/>
    <mergeCell ref="B60:H60"/>
    <mergeCell ref="B61:H61"/>
    <mergeCell ref="B62:H62"/>
    <mergeCell ref="B63:H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2026-02-11T21:32:42Z</dcterms:created>
  <dc:creator>openpyxl</dc:creator>
  <dc:description/>
  <dc:language>en-US</dc:language>
  <cp:lastModifiedBy/>
  <dcterms:modified xsi:type="dcterms:W3CDTF">2026-02-11T21:32:42Z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